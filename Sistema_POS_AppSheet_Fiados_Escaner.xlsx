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Configuracion" sheetId="1" r:id="rId1"/>
    <sheet name="Productos" sheetId="2" r:id="rId2"/>
    <sheet name="Clientes" sheetId="3" r:id="rId3"/>
    <sheet name="Cuentas_Por_Cobrar" sheetId="4" r:id="rId4"/>
    <sheet name="Abonos_Pagos" sheetId="5" r:id="rId5"/>
    <sheet name="Ventas" sheetId="6" r:id="rId6"/>
    <sheet name="Detalle_Ventas" sheetId="7" r:id="rId7"/>
  </sheets>
  <calcPr fullCalcOnLoad="1" calcId="124519"/>
</workbook>
</file>

<file path=xl/sharedStrings.xml><?xml version="1.0" encoding="utf-8"?>
<sst xmlns="http://schemas.openxmlformats.org/spreadsheetml/2006/main" uniqueCount="158" count="158">
  <si>
    <t>ID_Config</t>
  </si>
  <si>
    <t>Tasa_BCV_Bs_USD</t>
  </si>
  <si>
    <t>Ultima_Actualizacion</t>
  </si>
  <si>
    <t>Nombre_Negocio</t>
  </si>
  <si>
    <t>CFG-001</t>
  </si>
  <si>
    <t>2026-10-01</t>
  </si>
  <si>
    <t>Mi Abasto AppSheet POS</t>
  </si>
  <si>
    <t>ID_Detalle</t>
  </si>
  <si>
    <t>ID_Venta</t>
  </si>
  <si>
    <t>Codigo_Barras</t>
  </si>
  <si>
    <t>ID_Producto</t>
  </si>
  <si>
    <t>Nombre_Producto</t>
  </si>
  <si>
    <t>Cantidad</t>
  </si>
  <si>
    <t>Precio_Unitario_USD</t>
  </si>
  <si>
    <t>Subtotal_USD</t>
  </si>
  <si>
    <t>Subtotal_Bs</t>
  </si>
  <si>
    <t>DET-001</t>
  </si>
  <si>
    <t>VEN-001</t>
  </si>
  <si>
    <t>7591004004043</t>
  </si>
  <si>
    <t>PROD-013</t>
  </si>
  <si>
    <t>Salsa Bolognesa Cucina D'Italia</t>
  </si>
  <si>
    <t>DET-002</t>
  </si>
  <si>
    <t>7591006006023</t>
  </si>
  <si>
    <t>PROD-020</t>
  </si>
  <si>
    <t>Kellogg's Choco Zucaritas 300g</t>
  </si>
  <si>
    <t>DET-003</t>
  </si>
  <si>
    <t>7591003003022</t>
  </si>
  <si>
    <t>PROD-007</t>
  </si>
  <si>
    <t>Arroz Premium Santoni 900g</t>
  </si>
  <si>
    <t>Fecha_Hora</t>
  </si>
  <si>
    <t>ID_Cliente</t>
  </si>
  <si>
    <t>Tipo_Venta</t>
  </si>
  <si>
    <t>Total_USD</t>
  </si>
  <si>
    <t>Total_Bs</t>
  </si>
  <si>
    <t>Estado_Pago</t>
  </si>
  <si>
    <t>2026-10-01 09:30:00</t>
  </si>
  <si>
    <t>CLI-001</t>
  </si>
  <si>
    <t>Fiado / Crédito</t>
  </si>
  <si>
    <t>Credito Registrado</t>
  </si>
  <si>
    <t>VEN-002</t>
  </si>
  <si>
    <t>2026-10-01 10:15:00</t>
  </si>
  <si>
    <t>CLI-002</t>
  </si>
  <si>
    <t>VEN-003</t>
  </si>
  <si>
    <t>2026-10-01 11:00:00</t>
  </si>
  <si>
    <t>Publico General</t>
  </si>
  <si>
    <t>Contado</t>
  </si>
  <si>
    <t>PAGADO</t>
  </si>
  <si>
    <t>Nombre_Cliente</t>
  </si>
  <si>
    <t>Telefono</t>
  </si>
  <si>
    <t>Total_Deuda_USD</t>
  </si>
  <si>
    <t>Total_Deuda_Bs</t>
  </si>
  <si>
    <t>Estado_Cuenta</t>
  </si>
  <si>
    <t>Pedro Pérez</t>
  </si>
  <si>
    <t>0412-1234567</t>
  </si>
  <si>
    <t>María Rodríguez</t>
  </si>
  <si>
    <t>0414-7654321</t>
  </si>
  <si>
    <t>CLI-003</t>
  </si>
  <si>
    <t>José Gómez</t>
  </si>
  <si>
    <t>0424-9876543</t>
  </si>
  <si>
    <t>Categoria</t>
  </si>
  <si>
    <t>Precio_USD</t>
  </si>
  <si>
    <t>Precio_Bs</t>
  </si>
  <si>
    <t>Stock_Actual</t>
  </si>
  <si>
    <t>Estado</t>
  </si>
  <si>
    <t>PROD-001</t>
  </si>
  <si>
    <t>7591001001011</t>
  </si>
  <si>
    <t>BelVita Kraker con Afrecho 26g</t>
  </si>
  <si>
    <t>Galletas</t>
  </si>
  <si>
    <t>Disponible</t>
  </si>
  <si>
    <t>PROD-002</t>
  </si>
  <si>
    <t>7591001001028</t>
  </si>
  <si>
    <t>Club Social Original 26g</t>
  </si>
  <si>
    <t>PROD-003</t>
  </si>
  <si>
    <t>7591001001035</t>
  </si>
  <si>
    <t>BelVita Miel y Cereal 26g</t>
  </si>
  <si>
    <t>PROD-004</t>
  </si>
  <si>
    <t>7591002002018</t>
  </si>
  <si>
    <t>Espagueti Mary 1kg</t>
  </si>
  <si>
    <t>Pasta</t>
  </si>
  <si>
    <t>PROD-005</t>
  </si>
  <si>
    <t>7591002002025</t>
  </si>
  <si>
    <t>Espagueti La Molina 1kg</t>
  </si>
  <si>
    <t>PROD-006</t>
  </si>
  <si>
    <t>7591003003015</t>
  </si>
  <si>
    <t>Arroz Blanco Premium La Molina 900g</t>
  </si>
  <si>
    <t>Granos/Arroz</t>
  </si>
  <si>
    <t>PROD-008</t>
  </si>
  <si>
    <t>7591003003039</t>
  </si>
  <si>
    <t>Arroz Monic Fuente de Energía 900g</t>
  </si>
  <si>
    <t>PROD-009</t>
  </si>
  <si>
    <t>7591003003046</t>
  </si>
  <si>
    <t>Arroz Mary Superior 1kg</t>
  </si>
  <si>
    <t>PROD-010</t>
  </si>
  <si>
    <t>7591004004012</t>
  </si>
  <si>
    <t>Salsa de Ajo Iberia 165g</t>
  </si>
  <si>
    <t>Salsas</t>
  </si>
  <si>
    <t>PROD-011</t>
  </si>
  <si>
    <t>7591004004029</t>
  </si>
  <si>
    <t>Salsa Inglesa Coma 150ml</t>
  </si>
  <si>
    <t>PROD-012</t>
  </si>
  <si>
    <t>7591004004036</t>
  </si>
  <si>
    <t>Salsa de Soya Don Pedro 150ml</t>
  </si>
  <si>
    <t>PROD-014</t>
  </si>
  <si>
    <t>7591004004050</t>
  </si>
  <si>
    <t>Ketchup Heinz 57</t>
  </si>
  <si>
    <t>PROD-015</t>
  </si>
  <si>
    <t>7591004004067</t>
  </si>
  <si>
    <t>Ketchup Iberia</t>
  </si>
  <si>
    <t>PROD-016</t>
  </si>
  <si>
    <t>7591005005019</t>
  </si>
  <si>
    <t>Mayonesa Kraft 175g</t>
  </si>
  <si>
    <t>Aderezos</t>
  </si>
  <si>
    <t>PROD-017</t>
  </si>
  <si>
    <t>7591005005026</t>
  </si>
  <si>
    <t>Mayonesa Sofía</t>
  </si>
  <si>
    <t>PROD-018</t>
  </si>
  <si>
    <t>7591005005033</t>
  </si>
  <si>
    <t>Mostaza San Pedro 200g</t>
  </si>
  <si>
    <t>PROD-019</t>
  </si>
  <si>
    <t>7591006006016</t>
  </si>
  <si>
    <t>Kellogg's Corn Flakes 300g</t>
  </si>
  <si>
    <t>Cereales</t>
  </si>
  <si>
    <t>PROD-021</t>
  </si>
  <si>
    <t>7591006006030</t>
  </si>
  <si>
    <t>Kellogg's Zucaritas 300g</t>
  </si>
  <si>
    <t>PROD-022</t>
  </si>
  <si>
    <t>7591007007013</t>
  </si>
  <si>
    <t>Sangría Caraqueña 1L</t>
  </si>
  <si>
    <t>Licores</t>
  </si>
  <si>
    <t>PROD-023</t>
  </si>
  <si>
    <t>7591007007020</t>
  </si>
  <si>
    <t>Anís El Pilar 1L</t>
  </si>
  <si>
    <t>PROD-024</t>
  </si>
  <si>
    <t>7591007007037</t>
  </si>
  <si>
    <t>Whisky Black &amp; White 0.75L</t>
  </si>
  <si>
    <t>ID_Fiado</t>
  </si>
  <si>
    <t>Cliente_Nombre</t>
  </si>
  <si>
    <t>Fecha_Credito</t>
  </si>
  <si>
    <t>Monto_Original_USD</t>
  </si>
  <si>
    <t>Total_Abonado_USD</t>
  </si>
  <si>
    <t>Saldo_Pendiente_USD</t>
  </si>
  <si>
    <t>Saldo_Pendiente_Bs</t>
  </si>
  <si>
    <t>Estado_Fiado</t>
  </si>
  <si>
    <t>FIA-001</t>
  </si>
  <si>
    <t>FIA-002</t>
  </si>
  <si>
    <t>ID_Abono</t>
  </si>
  <si>
    <t>Fecha_Abono</t>
  </si>
  <si>
    <t>Monto_Abonado_USD</t>
  </si>
  <si>
    <t>Tasa_BCV</t>
  </si>
  <si>
    <t>Monto_Abonado_Bs</t>
  </si>
  <si>
    <t>Metodo_Pago</t>
  </si>
  <si>
    <t>Notas_Abono</t>
  </si>
  <si>
    <t>ABO-001</t>
  </si>
  <si>
    <t>Pago Móvil</t>
  </si>
  <si>
    <t>Abonó el 50% de la cuenta. Queda debiendo $5.00</t>
  </si>
  <si>
    <t>ABO-002</t>
  </si>
  <si>
    <t>Efectivo USD</t>
  </si>
  <si>
    <t>Abonó la mitad de la cuenta.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</si>
</sst>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Bs.#,##0.00"/>
    <numFmt numFmtId="49" formatCode="@"/>
    <numFmt numFmtId="165" formatCode="$#,##0.00"/>
    <numFmt numFmtId="3" formatCode="#,##0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Alignment="1">
      <alignment horizontal="center" vertical="center" wrapText="1"/>
    </xf>
    <xf numFmtId="0" fontId="2" fillId="0" borderId="1" xfId="0" applyAlignment="1">
      <alignment horizontal="center" vertical="bottom"/>
    </xf>
    <xf numFmtId="164" fontId="2" fillId="0" borderId="1" xfId="0" applyAlignment="1">
      <alignment horizontal="right" vertical="bottom"/>
    </xf>
    <xf numFmtId="49" fontId="2" fillId="0" borderId="1" xfId="0" applyAlignment="1">
      <alignment horizontal="center" vertical="bottom"/>
    </xf>
    <xf numFmtId="0" fontId="2" fillId="0" borderId="1" xfId="0" applyAlignment="1">
      <alignment horizontal="left" vertical="bottom"/>
    </xf>
    <xf numFmtId="165" fontId="2" fillId="0" borderId="1" xfId="0" applyAlignment="1">
      <alignment horizontal="right" vertical="bottom"/>
    </xf>
    <xf numFmtId="3" fontId="2" fillId="0" borderId="1" xfId="0" applyAlignment="1">
      <alignment horizontal="center" vertical="bottom"/>
    </xf>
    <xf numFmtId="49" fontId="2" fillId="3" borderId="1" xfId="0" applyAlignment="1">
      <alignment horizontal="center" vertical="bottom"/>
    </xf>
    <xf numFmtId="0" fontId="2" fillId="3" borderId="1" xfId="0" applyAlignment="1">
      <alignment horizontal="left" vertical="bottom"/>
    </xf>
    <xf numFmtId="165" fontId="2" fillId="3" borderId="1" xfId="0" applyAlignment="1">
      <alignment horizontal="right" vertical="bottom"/>
    </xf>
    <xf numFmtId="164" fontId="2" fillId="3" borderId="1" xfId="0" applyAlignment="1">
      <alignment horizontal="right" vertical="bottom"/>
    </xf>
    <xf numFmtId="3" fontId="2" fillId="3" borderId="1" xfId="0" applyAlignment="1">
      <alignment horizontal="center" vertical="bottom"/>
    </xf>
    <xf numFmtId="0" fontId="2" fillId="0" borderId="1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19.0" style="0"/>
    <col min="3" max="3" customWidth="1" width="24.0" style="0"/>
    <col min="4" max="4" customWidth="1" width="25.0" style="0"/>
  </cols>
  <sheetData>
    <row r="1" spans="8:8" ht="28.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8:8">
      <c r="A2" s="2" t="s">
        <v>4</v>
      </c>
      <c r="B2" s="3">
        <v>860.18</v>
      </c>
      <c r="C2" s="2" t="s">
        <v>5</v>
      </c>
      <c r="D2" s="2" t="s">
        <v>6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5"/>
  <sheetViews>
    <sheetView workbookViewId="0">
      <selection activeCell="A1" sqref="A1"/>
    </sheetView>
  </sheetViews>
  <sheetFormatPr defaultRowHeight="15.0" defaultColWidth="10"/>
  <cols>
    <col min="1" max="1" customWidth="1" width="15.0" style="0"/>
    <col min="2" max="2" customWidth="1" width="18.0" style="0"/>
    <col min="3" max="3" customWidth="1" width="38.0" style="0"/>
    <col min="4" max="4" customWidth="1" width="16.0" style="0"/>
    <col min="5" max="5" customWidth="1" width="14.0" style="0"/>
    <col min="6" max="6" customWidth="1" width="30.0" style="0"/>
    <col min="7" max="7" customWidth="1" width="16.0" style="0"/>
    <col min="8" max="8" customWidth="1" width="14.0" style="0"/>
  </cols>
  <sheetData>
    <row r="1" spans="8:8" ht="28.0" customHeight="1">
      <c r="A1" s="1" t="s">
        <v>10</v>
      </c>
      <c r="B1" s="1" t="s">
        <v>9</v>
      </c>
      <c r="C1" s="1" t="s">
        <v>11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8:8">
      <c r="A2" s="4" t="s">
        <v>64</v>
      </c>
      <c r="B2" s="4" t="s">
        <v>65</v>
      </c>
      <c r="C2" s="5" t="s">
        <v>66</v>
      </c>
      <c r="D2" s="5" t="s">
        <v>67</v>
      </c>
      <c r="E2" s="6">
        <v>0.5</v>
      </c>
      <c r="F2" s="3">
        <f>E2*Configuracion!$B$2</f>
        <v>430.09</v>
      </c>
      <c r="G2" s="7">
        <v>24.0</v>
      </c>
      <c r="H2" s="4" t="s">
        <v>68</v>
      </c>
    </row>
    <row r="3" spans="8:8">
      <c r="A3" s="8" t="s">
        <v>69</v>
      </c>
      <c r="B3" s="8" t="s">
        <v>70</v>
      </c>
      <c r="C3" s="9" t="s">
        <v>71</v>
      </c>
      <c r="D3" s="9" t="s">
        <v>67</v>
      </c>
      <c r="E3" s="10">
        <v>0.6</v>
      </c>
      <c r="F3" s="11">
        <f>E3*Configuracion!$B$2</f>
        <v>516.108</v>
      </c>
      <c r="G3" s="12">
        <v>36.0</v>
      </c>
      <c r="H3" s="8" t="s">
        <v>68</v>
      </c>
    </row>
    <row r="4" spans="8:8">
      <c r="A4" s="4" t="s">
        <v>72</v>
      </c>
      <c r="B4" s="4" t="s">
        <v>73</v>
      </c>
      <c r="C4" s="5" t="s">
        <v>74</v>
      </c>
      <c r="D4" s="5" t="s">
        <v>67</v>
      </c>
      <c r="E4" s="6">
        <v>0.55</v>
      </c>
      <c r="F4" s="3">
        <f>E4*Configuracion!$B$2</f>
        <v>473.099</v>
      </c>
      <c r="G4" s="7">
        <v>18.0</v>
      </c>
      <c r="H4" s="4" t="s">
        <v>68</v>
      </c>
    </row>
    <row r="5" spans="8:8">
      <c r="A5" s="8" t="s">
        <v>75</v>
      </c>
      <c r="B5" s="8" t="s">
        <v>76</v>
      </c>
      <c r="C5" s="9" t="s">
        <v>77</v>
      </c>
      <c r="D5" s="9" t="s">
        <v>78</v>
      </c>
      <c r="E5" s="10">
        <v>1.3</v>
      </c>
      <c r="F5" s="11">
        <f>E5*Configuracion!$B$2</f>
        <v>1118.234</v>
      </c>
      <c r="G5" s="12">
        <v>20.0</v>
      </c>
      <c r="H5" s="8" t="s">
        <v>68</v>
      </c>
    </row>
    <row r="6" spans="8:8">
      <c r="A6" s="4" t="s">
        <v>79</v>
      </c>
      <c r="B6" s="4" t="s">
        <v>80</v>
      </c>
      <c r="C6" s="5" t="s">
        <v>81</v>
      </c>
      <c r="D6" s="5" t="s">
        <v>78</v>
      </c>
      <c r="E6" s="6">
        <v>1.25</v>
      </c>
      <c r="F6" s="3">
        <f>E6*Configuracion!$B$2</f>
        <v>1075.225</v>
      </c>
      <c r="G6" s="7">
        <v>20.0</v>
      </c>
      <c r="H6" s="4" t="s">
        <v>68</v>
      </c>
    </row>
    <row r="7" spans="8:8">
      <c r="A7" s="8" t="s">
        <v>82</v>
      </c>
      <c r="B7" s="8" t="s">
        <v>83</v>
      </c>
      <c r="C7" s="9" t="s">
        <v>84</v>
      </c>
      <c r="D7" s="9" t="s">
        <v>85</v>
      </c>
      <c r="E7" s="10">
        <v>1.1</v>
      </c>
      <c r="F7" s="11">
        <f>E7*Configuracion!$B$2</f>
        <v>946.198</v>
      </c>
      <c r="G7" s="12">
        <v>30.0</v>
      </c>
      <c r="H7" s="8" t="s">
        <v>68</v>
      </c>
    </row>
    <row r="8" spans="8:8">
      <c r="A8" s="4" t="s">
        <v>27</v>
      </c>
      <c r="B8" s="4" t="s">
        <v>26</v>
      </c>
      <c r="C8" s="5" t="s">
        <v>28</v>
      </c>
      <c r="D8" s="5" t="s">
        <v>85</v>
      </c>
      <c r="E8" s="6">
        <v>1.15</v>
      </c>
      <c r="F8" s="3">
        <f>E8*Configuracion!$B$2</f>
        <v>989.2069999999999</v>
      </c>
      <c r="G8" s="7">
        <v>25.0</v>
      </c>
      <c r="H8" s="4" t="s">
        <v>68</v>
      </c>
    </row>
    <row r="9" spans="8:8">
      <c r="A9" s="8" t="s">
        <v>86</v>
      </c>
      <c r="B9" s="8" t="s">
        <v>87</v>
      </c>
      <c r="C9" s="9" t="s">
        <v>88</v>
      </c>
      <c r="D9" s="9" t="s">
        <v>85</v>
      </c>
      <c r="E9" s="10">
        <v>1.05</v>
      </c>
      <c r="F9" s="11">
        <f>E9*Configuracion!$B$2</f>
        <v>903.189</v>
      </c>
      <c r="G9" s="12">
        <v>20.0</v>
      </c>
      <c r="H9" s="8" t="s">
        <v>68</v>
      </c>
    </row>
    <row r="10" spans="8:8">
      <c r="A10" s="4" t="s">
        <v>89</v>
      </c>
      <c r="B10" s="4" t="s">
        <v>90</v>
      </c>
      <c r="C10" s="5" t="s">
        <v>91</v>
      </c>
      <c r="D10" s="5" t="s">
        <v>85</v>
      </c>
      <c r="E10" s="6">
        <v>1.2</v>
      </c>
      <c r="F10" s="3">
        <f>E10*Configuracion!$B$2</f>
        <v>1032.216</v>
      </c>
      <c r="G10" s="7">
        <v>30.0</v>
      </c>
      <c r="H10" s="4" t="s">
        <v>68</v>
      </c>
    </row>
    <row r="11" spans="8:8">
      <c r="A11" s="8" t="s">
        <v>92</v>
      </c>
      <c r="B11" s="8" t="s">
        <v>93</v>
      </c>
      <c r="C11" s="9" t="s">
        <v>94</v>
      </c>
      <c r="D11" s="9" t="s">
        <v>95</v>
      </c>
      <c r="E11" s="10">
        <v>1.4</v>
      </c>
      <c r="F11" s="11">
        <f>E11*Configuracion!$B$2</f>
        <v>1204.252</v>
      </c>
      <c r="G11" s="12">
        <v>15.0</v>
      </c>
      <c r="H11" s="8" t="s">
        <v>68</v>
      </c>
    </row>
    <row r="12" spans="8:8">
      <c r="A12" s="4" t="s">
        <v>96</v>
      </c>
      <c r="B12" s="4" t="s">
        <v>97</v>
      </c>
      <c r="C12" s="5" t="s">
        <v>98</v>
      </c>
      <c r="D12" s="5" t="s">
        <v>95</v>
      </c>
      <c r="E12" s="6">
        <v>1.35</v>
      </c>
      <c r="F12" s="3">
        <f>E12*Configuracion!$B$2</f>
        <v>1161.243</v>
      </c>
      <c r="G12" s="7">
        <v>12.0</v>
      </c>
      <c r="H12" s="4" t="s">
        <v>68</v>
      </c>
    </row>
    <row r="13" spans="8:8">
      <c r="A13" s="8" t="s">
        <v>99</v>
      </c>
      <c r="B13" s="8" t="s">
        <v>100</v>
      </c>
      <c r="C13" s="9" t="s">
        <v>101</v>
      </c>
      <c r="D13" s="9" t="s">
        <v>95</v>
      </c>
      <c r="E13" s="10">
        <v>1.5</v>
      </c>
      <c r="F13" s="11">
        <f>E13*Configuracion!$B$2</f>
        <v>1290.27</v>
      </c>
      <c r="G13" s="12">
        <v>15.0</v>
      </c>
      <c r="H13" s="8" t="s">
        <v>68</v>
      </c>
    </row>
    <row r="14" spans="8:8">
      <c r="A14" s="4" t="s">
        <v>19</v>
      </c>
      <c r="B14" s="4" t="s">
        <v>18</v>
      </c>
      <c r="C14" s="5" t="s">
        <v>20</v>
      </c>
      <c r="D14" s="5" t="s">
        <v>95</v>
      </c>
      <c r="E14" s="6">
        <v>2.2</v>
      </c>
      <c r="F14" s="3">
        <f>E14*Configuracion!$B$2</f>
        <v>1892.396</v>
      </c>
      <c r="G14" s="7">
        <v>10.0</v>
      </c>
      <c r="H14" s="4" t="s">
        <v>68</v>
      </c>
    </row>
    <row r="15" spans="8:8">
      <c r="A15" s="8" t="s">
        <v>102</v>
      </c>
      <c r="B15" s="8" t="s">
        <v>103</v>
      </c>
      <c r="C15" s="9" t="s">
        <v>104</v>
      </c>
      <c r="D15" s="9" t="s">
        <v>95</v>
      </c>
      <c r="E15" s="10">
        <v>2.5</v>
      </c>
      <c r="F15" s="11">
        <f>E15*Configuracion!$B$2</f>
        <v>2150.45</v>
      </c>
      <c r="G15" s="12">
        <v>18.0</v>
      </c>
      <c r="H15" s="8" t="s">
        <v>68</v>
      </c>
    </row>
    <row r="16" spans="8:8">
      <c r="A16" s="4" t="s">
        <v>105</v>
      </c>
      <c r="B16" s="4" t="s">
        <v>106</v>
      </c>
      <c r="C16" s="5" t="s">
        <v>107</v>
      </c>
      <c r="D16" s="5" t="s">
        <v>95</v>
      </c>
      <c r="E16" s="6">
        <v>1.8</v>
      </c>
      <c r="F16" s="3">
        <f>E16*Configuracion!$B$2</f>
        <v>1548.3239999999998</v>
      </c>
      <c r="G16" s="7">
        <v>15.0</v>
      </c>
      <c r="H16" s="4" t="s">
        <v>68</v>
      </c>
    </row>
    <row r="17" spans="8:8">
      <c r="A17" s="8" t="s">
        <v>108</v>
      </c>
      <c r="B17" s="8" t="s">
        <v>109</v>
      </c>
      <c r="C17" s="9" t="s">
        <v>110</v>
      </c>
      <c r="D17" s="9" t="s">
        <v>111</v>
      </c>
      <c r="E17" s="10">
        <v>2.8</v>
      </c>
      <c r="F17" s="11">
        <f>E17*Configuracion!$B$2</f>
        <v>2408.504</v>
      </c>
      <c r="G17" s="12">
        <v>12.0</v>
      </c>
      <c r="H17" s="8" t="s">
        <v>68</v>
      </c>
    </row>
    <row r="18" spans="8:8">
      <c r="A18" s="4" t="s">
        <v>112</v>
      </c>
      <c r="B18" s="4" t="s">
        <v>113</v>
      </c>
      <c r="C18" s="5" t="s">
        <v>114</v>
      </c>
      <c r="D18" s="5" t="s">
        <v>111</v>
      </c>
      <c r="E18" s="6">
        <v>2.1</v>
      </c>
      <c r="F18" s="3">
        <f>E18*Configuracion!$B$2</f>
        <v>1806.378</v>
      </c>
      <c r="G18" s="7">
        <v>10.0</v>
      </c>
      <c r="H18" s="4" t="s">
        <v>68</v>
      </c>
    </row>
    <row r="19" spans="8:8">
      <c r="A19" s="8" t="s">
        <v>115</v>
      </c>
      <c r="B19" s="8" t="s">
        <v>116</v>
      </c>
      <c r="C19" s="9" t="s">
        <v>117</v>
      </c>
      <c r="D19" s="9" t="s">
        <v>111</v>
      </c>
      <c r="E19" s="10">
        <v>1.6</v>
      </c>
      <c r="F19" s="11">
        <f>E19*Configuracion!$B$2</f>
        <v>1376.288</v>
      </c>
      <c r="G19" s="12">
        <v>12.0</v>
      </c>
      <c r="H19" s="8" t="s">
        <v>68</v>
      </c>
    </row>
    <row r="20" spans="8:8">
      <c r="A20" s="4" t="s">
        <v>118</v>
      </c>
      <c r="B20" s="4" t="s">
        <v>119</v>
      </c>
      <c r="C20" s="5" t="s">
        <v>120</v>
      </c>
      <c r="D20" s="5" t="s">
        <v>121</v>
      </c>
      <c r="E20" s="6">
        <v>3.5</v>
      </c>
      <c r="F20" s="3">
        <f>E20*Configuracion!$B$2</f>
        <v>3010.6299999999997</v>
      </c>
      <c r="G20" s="7">
        <v>8.0</v>
      </c>
      <c r="H20" s="4" t="s">
        <v>68</v>
      </c>
    </row>
    <row r="21" spans="8:8">
      <c r="A21" s="8" t="s">
        <v>23</v>
      </c>
      <c r="B21" s="8" t="s">
        <v>22</v>
      </c>
      <c r="C21" s="9" t="s">
        <v>24</v>
      </c>
      <c r="D21" s="9" t="s">
        <v>121</v>
      </c>
      <c r="E21" s="10">
        <v>3.9</v>
      </c>
      <c r="F21" s="11">
        <f>E21*Configuracion!$B$2</f>
        <v>3354.7019999999998</v>
      </c>
      <c r="G21" s="12">
        <v>8.0</v>
      </c>
      <c r="H21" s="8" t="s">
        <v>68</v>
      </c>
    </row>
    <row r="22" spans="8:8">
      <c r="A22" s="4" t="s">
        <v>122</v>
      </c>
      <c r="B22" s="4" t="s">
        <v>123</v>
      </c>
      <c r="C22" s="5" t="s">
        <v>124</v>
      </c>
      <c r="D22" s="5" t="s">
        <v>121</v>
      </c>
      <c r="E22" s="6">
        <v>3.8</v>
      </c>
      <c r="F22" s="3">
        <f>E22*Configuracion!$B$2</f>
        <v>3268.6839999999997</v>
      </c>
      <c r="G22" s="7">
        <v>8.0</v>
      </c>
      <c r="H22" s="4" t="s">
        <v>68</v>
      </c>
    </row>
    <row r="23" spans="8:8">
      <c r="A23" s="8" t="s">
        <v>125</v>
      </c>
      <c r="B23" s="8" t="s">
        <v>126</v>
      </c>
      <c r="C23" s="9" t="s">
        <v>127</v>
      </c>
      <c r="D23" s="9" t="s">
        <v>128</v>
      </c>
      <c r="E23" s="10">
        <v>4.5</v>
      </c>
      <c r="F23" s="11">
        <f>E23*Configuracion!$B$2</f>
        <v>3870.81</v>
      </c>
      <c r="G23" s="12">
        <v>6.0</v>
      </c>
      <c r="H23" s="8" t="s">
        <v>68</v>
      </c>
    </row>
    <row r="24" spans="8:8">
      <c r="A24" s="4" t="s">
        <v>129</v>
      </c>
      <c r="B24" s="4" t="s">
        <v>130</v>
      </c>
      <c r="C24" s="5" t="s">
        <v>131</v>
      </c>
      <c r="D24" s="5" t="s">
        <v>128</v>
      </c>
      <c r="E24" s="6">
        <v>5.0</v>
      </c>
      <c r="F24" s="3">
        <f>E24*Configuracion!$B$2</f>
        <v>4300.9</v>
      </c>
      <c r="G24" s="7">
        <v>6.0</v>
      </c>
      <c r="H24" s="4" t="s">
        <v>68</v>
      </c>
    </row>
    <row r="25" spans="8:8">
      <c r="A25" s="8" t="s">
        <v>132</v>
      </c>
      <c r="B25" s="8" t="s">
        <v>133</v>
      </c>
      <c r="C25" s="9" t="s">
        <v>134</v>
      </c>
      <c r="D25" s="9" t="s">
        <v>128</v>
      </c>
      <c r="E25" s="10">
        <v>12.0</v>
      </c>
      <c r="F25" s="11">
        <f>E25*Configuracion!$B$2</f>
        <v>10322.16</v>
      </c>
      <c r="G25" s="12">
        <v>4.0</v>
      </c>
      <c r="H25" s="8" t="s">
        <v>68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G4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26.0" style="0"/>
    <col min="3" max="3" customWidth="1" width="16.0" style="0"/>
    <col min="4" max="4" customWidth="1" width="65.0" style="0"/>
    <col min="5" max="5" customWidth="1" width="29.0" style="0"/>
    <col min="6" max="6" customWidth="1" width="22.0" style="0"/>
  </cols>
  <sheetData>
    <row r="1" spans="8:8" ht="28.0" customHeight="1">
      <c r="A1" s="1" t="s">
        <v>30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8:8">
      <c r="A2" s="2" t="s">
        <v>36</v>
      </c>
      <c r="B2" s="5" t="s">
        <v>52</v>
      </c>
      <c r="C2" s="2" t="s">
        <v>53</v>
      </c>
      <c r="D2" s="6">
        <f>SUMIF(Cuentas_Por_Cobrar!B:B,A2,Cuentas_Por_Cobrar!G:G)</f>
        <v>5.0</v>
      </c>
      <c r="E2" s="3">
        <f>D2*Configuracion!$B$2</f>
        <v>4300.9</v>
      </c>
      <c r="F2" s="2" t="str">
        <f>IF(D2&gt;0,"Con Deuda Pendiente","Solvente")</f>
        <v>Con Deuda Pendiente</v>
      </c>
    </row>
    <row r="3" spans="8:8">
      <c r="A3" s="2" t="s">
        <v>41</v>
      </c>
      <c r="B3" s="5" t="s">
        <v>54</v>
      </c>
      <c r="C3" s="2" t="s">
        <v>55</v>
      </c>
      <c r="D3" s="6">
        <f>SUMIF(Cuentas_Por_Cobrar!B:B,A3,Cuentas_Por_Cobrar!G:G)</f>
        <v>7.5</v>
      </c>
      <c r="E3" s="3">
        <f>D3*Configuracion!$B$2</f>
        <v>6451.349999999999</v>
      </c>
      <c r="F3" s="2" t="str">
        <f>IF(D3&gt;0,"Con Deuda Pendiente","Solvente")</f>
        <v>Con Deuda Pendiente</v>
      </c>
    </row>
    <row r="4" spans="8:8">
      <c r="A4" s="2" t="s">
        <v>56</v>
      </c>
      <c r="B4" s="5" t="s">
        <v>57</v>
      </c>
      <c r="C4" s="2" t="s">
        <v>58</v>
      </c>
      <c r="D4" s="6">
        <f>SUMIF(Cuentas_Por_Cobrar!B:B,A4,Cuentas_Por_Cobrar!G:G)</f>
        <v>0.0</v>
      </c>
      <c r="E4" s="3">
        <f>D4*Configuracion!$B$2</f>
        <v>0.0</v>
      </c>
      <c r="F4" s="2" t="str">
        <f>IF(D4&gt;0,"Con Deuda Pendiente","Solvente")</f>
        <v>Solvente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14.0" style="0"/>
    <col min="3" max="3" customWidth="1" width="24.0" style="0"/>
    <col min="4" max="4" customWidth="1" width="17.0" style="0"/>
    <col min="5" max="5" customWidth="1" width="22.0" style="0"/>
    <col min="6" max="6" customWidth="1" width="53.0" style="0"/>
    <col min="7" max="7" customWidth="1" width="23.0" style="0"/>
    <col min="8" max="8" customWidth="1" width="29.0" style="0"/>
    <col min="9" max="9" customWidth="1" width="22.0" style="0"/>
  </cols>
  <sheetData>
    <row r="1" spans="8:8" ht="28.0" customHeight="1">
      <c r="A1" s="1" t="s">
        <v>135</v>
      </c>
      <c r="B1" s="1" t="s">
        <v>30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8:8">
      <c r="A2" s="2" t="s">
        <v>143</v>
      </c>
      <c r="B2" s="2" t="s">
        <v>36</v>
      </c>
      <c r="C2" s="5" t="str">
        <f>VLOOKUP(B2,Clientes!A:B,2,FALSE)</f>
        <v>Pedro Pérez</v>
      </c>
      <c r="D2" s="2" t="s">
        <v>5</v>
      </c>
      <c r="E2" s="6">
        <v>10.0</v>
      </c>
      <c r="F2" s="6">
        <f>SUMIF(Abonos_Pagos!B:B,A2,Abonos_Pagos!E:E)</f>
        <v>5.0</v>
      </c>
      <c r="G2" s="6">
        <f>E2-F2</f>
        <v>5.0</v>
      </c>
      <c r="H2" s="3">
        <f>G2*Configuracion!$B$2</f>
        <v>4300.9</v>
      </c>
      <c r="I2" s="2" t="str">
        <f>IF(G2&lt;=0,"PAGADO",IF(F2&gt;0,"ABONADO (MOROSO)","PENDIENTE TOTAL"))</f>
        <v>ABONADO (MOROSO)</v>
      </c>
    </row>
    <row r="3" spans="8:8">
      <c r="A3" s="2" t="s">
        <v>144</v>
      </c>
      <c r="B3" s="2" t="s">
        <v>41</v>
      </c>
      <c r="C3" s="5" t="str">
        <f>VLOOKUP(B3,Clientes!A:B,2,FALSE)</f>
        <v>María Rodríguez</v>
      </c>
      <c r="D3" s="2" t="s">
        <v>5</v>
      </c>
      <c r="E3" s="6">
        <v>15.0</v>
      </c>
      <c r="F3" s="6">
        <f>SUMIF(Abonos_Pagos!B:B,A3,Abonos_Pagos!E:E)</f>
        <v>7.5</v>
      </c>
      <c r="G3" s="6">
        <f>E3-F3</f>
        <v>7.5</v>
      </c>
      <c r="H3" s="3">
        <f>G3*Configuracion!$B$2</f>
        <v>6451.349999999999</v>
      </c>
      <c r="I3" s="2" t="str">
        <f>IF(G3&lt;=0,"PAGADO",IF(F3&gt;0,"ABONADO (MOROSO)","PENDIENTE TOTAL"))</f>
        <v>ABONADO (MOROSO)</v>
      </c>
    </row>
  </sheetData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14.0" style="0"/>
    <col min="3" max="3" customWidth="1" width="14.0" style="0"/>
    <col min="4" max="4" customWidth="1" width="15.0" style="0"/>
    <col min="5" max="5" customWidth="1" width="21.0" style="0"/>
    <col min="6" max="6" customWidth="1" width="26.0" style="0"/>
    <col min="7" max="7" customWidth="1" width="20.0" style="0"/>
    <col min="8" max="8" customWidth="1" width="18.0" style="0"/>
    <col min="9" max="9" customWidth="1" width="40.0" style="0"/>
  </cols>
  <sheetData>
    <row r="1" spans="8:8" ht="28.0" customHeight="1">
      <c r="A1" s="1" t="s">
        <v>145</v>
      </c>
      <c r="B1" s="1" t="s">
        <v>135</v>
      </c>
      <c r="C1" s="1" t="s">
        <v>30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8:8">
      <c r="A2" s="2" t="s">
        <v>152</v>
      </c>
      <c r="B2" s="2" t="s">
        <v>143</v>
      </c>
      <c r="C2" s="2" t="s">
        <v>36</v>
      </c>
      <c r="D2" s="2" t="s">
        <v>5</v>
      </c>
      <c r="E2" s="6">
        <v>5.0</v>
      </c>
      <c r="F2" s="3">
        <f>Configuracion!$B$2</f>
        <v>860.18</v>
      </c>
      <c r="G2" s="3">
        <f>E2*F2</f>
        <v>4300.9</v>
      </c>
      <c r="H2" s="2" t="s">
        <v>153</v>
      </c>
      <c r="I2" s="13" t="s">
        <v>154</v>
      </c>
    </row>
    <row r="3" spans="8:8">
      <c r="A3" s="2" t="s">
        <v>155</v>
      </c>
      <c r="B3" s="2" t="s">
        <v>144</v>
      </c>
      <c r="C3" s="2" t="s">
        <v>41</v>
      </c>
      <c r="D3" s="2" t="s">
        <v>5</v>
      </c>
      <c r="E3" s="6">
        <v>7.5</v>
      </c>
      <c r="F3" s="3">
        <f>Configuracion!$B$2</f>
        <v>860.18</v>
      </c>
      <c r="G3" s="3">
        <f>E3*F3</f>
        <v>6451.349999999999</v>
      </c>
      <c r="H3" s="2" t="s">
        <v>156</v>
      </c>
      <c r="I3" s="13" t="s">
        <v>157</v>
      </c>
    </row>
  </sheetData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22.0" style="0"/>
    <col min="3" max="3" customWidth="1" width="18.0" style="0"/>
    <col min="4" max="4" customWidth="1" width="18.0" style="0"/>
    <col min="5" max="5" customWidth="1" width="14.0" style="0"/>
    <col min="6" max="6" customWidth="1" width="29.0" style="0"/>
    <col min="7" max="7" customWidth="1" width="22.0" style="0"/>
  </cols>
  <sheetData>
    <row r="1" spans="8:8" ht="28.0" customHeight="1">
      <c r="A1" s="1" t="s">
        <v>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8:8">
      <c r="A2" s="2" t="s">
        <v>17</v>
      </c>
      <c r="B2" s="2" t="s">
        <v>35</v>
      </c>
      <c r="C2" s="2" t="s">
        <v>36</v>
      </c>
      <c r="D2" s="2" t="s">
        <v>37</v>
      </c>
      <c r="E2" s="6">
        <v>10.0</v>
      </c>
      <c r="F2" s="3">
        <f>E2*Configuracion!$B$2</f>
        <v>8601.8</v>
      </c>
      <c r="G2" s="2" t="s">
        <v>38</v>
      </c>
    </row>
    <row r="3" spans="8:8">
      <c r="A3" s="2" t="s">
        <v>39</v>
      </c>
      <c r="B3" s="2" t="s">
        <v>40</v>
      </c>
      <c r="C3" s="2" t="s">
        <v>41</v>
      </c>
      <c r="D3" s="2" t="s">
        <v>37</v>
      </c>
      <c r="E3" s="6">
        <v>15.0</v>
      </c>
      <c r="F3" s="3">
        <f>E3*Configuracion!$B$2</f>
        <v>12902.699999999999</v>
      </c>
      <c r="G3" s="2" t="s">
        <v>38</v>
      </c>
    </row>
    <row r="4" spans="8:8">
      <c r="A4" s="2" t="s">
        <v>42</v>
      </c>
      <c r="B4" s="2" t="s">
        <v>43</v>
      </c>
      <c r="C4" s="2" t="s">
        <v>44</v>
      </c>
      <c r="D4" s="2" t="s">
        <v>45</v>
      </c>
      <c r="E4" s="6">
        <v>4.5</v>
      </c>
      <c r="F4" s="3">
        <f>E4*Configuracion!$B$2</f>
        <v>3870.81</v>
      </c>
      <c r="G4" s="2" t="s">
        <v>46</v>
      </c>
    </row>
  </sheetData>
  <pageMargins left="0.75" right="0.75" top="1.0" bottom="1.0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dimension ref="A1:J4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14.0" style="0"/>
    <col min="3" max="3" customWidth="1" width="18.0" style="0"/>
    <col min="4" max="4" customWidth="1" width="15.0" style="0"/>
    <col min="5" max="5" customWidth="1" width="36.0" style="0"/>
    <col min="6" max="6" customWidth="1" width="14.0" style="0"/>
    <col min="7" max="7" customWidth="1" width="23.0" style="0"/>
    <col min="8" max="8" customWidth="1" width="16.0" style="0"/>
    <col min="9" max="9" customWidth="1" width="29.0" style="0"/>
  </cols>
  <sheetData>
    <row r="1" spans="8:8" ht="28.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8:8">
      <c r="A2" s="2" t="s">
        <v>16</v>
      </c>
      <c r="B2" s="2" t="s">
        <v>17</v>
      </c>
      <c r="C2" s="4" t="s">
        <v>18</v>
      </c>
      <c r="D2" s="2" t="s">
        <v>19</v>
      </c>
      <c r="E2" s="5" t="s">
        <v>20</v>
      </c>
      <c r="F2" s="7">
        <v>2.0</v>
      </c>
      <c r="G2" s="6">
        <v>2.2</v>
      </c>
      <c r="H2" s="6">
        <f>F2*G2</f>
        <v>4.4</v>
      </c>
      <c r="I2" s="3">
        <f>H2*Configuracion!$B$2</f>
        <v>3784.792</v>
      </c>
    </row>
    <row r="3" spans="8:8">
      <c r="A3" s="2" t="s">
        <v>21</v>
      </c>
      <c r="B3" s="2" t="s">
        <v>17</v>
      </c>
      <c r="C3" s="4" t="s">
        <v>22</v>
      </c>
      <c r="D3" s="2" t="s">
        <v>23</v>
      </c>
      <c r="E3" s="5" t="s">
        <v>24</v>
      </c>
      <c r="F3" s="7">
        <v>1.0</v>
      </c>
      <c r="G3" s="6">
        <v>3.9</v>
      </c>
      <c r="H3" s="6">
        <f>F3*G3</f>
        <v>3.9</v>
      </c>
      <c r="I3" s="3">
        <f>H3*Configuracion!$B$2</f>
        <v>3354.7019999999998</v>
      </c>
    </row>
    <row r="4" spans="8:8">
      <c r="A4" s="2" t="s">
        <v>25</v>
      </c>
      <c r="B4" s="2" t="s">
        <v>17</v>
      </c>
      <c r="C4" s="4" t="s">
        <v>26</v>
      </c>
      <c r="D4" s="2" t="s">
        <v>27</v>
      </c>
      <c r="E4" s="5" t="s">
        <v>28</v>
      </c>
      <c r="F4" s="7">
        <v>1.0</v>
      </c>
      <c r="G4" s="6">
        <v>1.7</v>
      </c>
      <c r="H4" s="6">
        <f>F4*G4</f>
        <v>1.7</v>
      </c>
      <c r="I4" s="3">
        <f>H4*Configuracion!$B$2</f>
        <v>1462.3059999999998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2026-10-01T20:06:54Z</dcterms:created>
  <dcterms:modified xsi:type="dcterms:W3CDTF">2026-10-01T17:33:01Z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d8123b4bd62e4ae08fd65bb9a376b11c_23</vt:lpwstr>
  </property>
</Properties>
</file>